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H:\Reporting\Code and data\"/>
    </mc:Choice>
  </mc:AlternateContent>
  <bookViews>
    <workbookView xWindow="0" yWindow="0" windowWidth="23040" windowHeight="12015"/>
  </bookViews>
  <sheets>
    <sheet name="31Days" sheetId="1" r:id="rId1"/>
    <sheet name="Mapping" sheetId="5" r:id="rId2"/>
    <sheet name="Folders" sheetId="6" r:id="rId3"/>
  </sheets>
  <functionGroups builtInGroupCount="18"/>
  <calcPr calcId="171027"/>
</workbook>
</file>

<file path=xl/calcChain.xml><?xml version="1.0" encoding="utf-8"?>
<calcChain xmlns="http://schemas.openxmlformats.org/spreadsheetml/2006/main"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4" i="1"/>
  <c r="A41" i="1" l="1"/>
  <c r="A36" i="1" l="1"/>
  <c r="A35" i="1"/>
  <c r="A37" i="1"/>
  <c r="B44" i="1"/>
  <c r="D36" i="1" l="1"/>
  <c r="B36" i="1" l="1"/>
  <c r="C36" i="1"/>
  <c r="C44" i="1" l="1"/>
  <c r="C43" i="1"/>
  <c r="C42" i="1"/>
  <c r="C41" i="1"/>
  <c r="E36" i="1"/>
</calcChain>
</file>

<file path=xl/sharedStrings.xml><?xml version="1.0" encoding="utf-8"?>
<sst xmlns="http://schemas.openxmlformats.org/spreadsheetml/2006/main" count="220" uniqueCount="209">
  <si>
    <t>Site Name</t>
  </si>
  <si>
    <t>Label</t>
  </si>
  <si>
    <t>Units</t>
  </si>
  <si>
    <t>gpm</t>
  </si>
  <si>
    <t>Max Flow Rate</t>
  </si>
  <si>
    <t>Min Flow Rate</t>
  </si>
  <si>
    <t>Avg Flow Rate</t>
  </si>
  <si>
    <t>Total Flow</t>
  </si>
  <si>
    <t>gal</t>
  </si>
  <si>
    <t>Max Flow rate</t>
  </si>
  <si>
    <t>Min Flow rate</t>
  </si>
  <si>
    <t>Avg Flow rate</t>
  </si>
  <si>
    <t>Avg Total Flow</t>
  </si>
  <si>
    <t>Monthly Summary</t>
  </si>
  <si>
    <t>Measures</t>
  </si>
  <si>
    <t>Value</t>
  </si>
  <si>
    <t>Unit</t>
  </si>
  <si>
    <t>Max Total Flow</t>
  </si>
  <si>
    <t>Min Total Flow</t>
  </si>
  <si>
    <t>GPD</t>
  </si>
  <si>
    <t>05100089.000.txt</t>
  </si>
  <si>
    <t>DS Waters-North Driveway</t>
  </si>
  <si>
    <t>00137002.000.txt</t>
  </si>
  <si>
    <t>Crothall Laundry Services-Northeast of Parking Lot</t>
  </si>
  <si>
    <t>05100872.000.txt</t>
  </si>
  <si>
    <t>Abrazo Arrowhead Campus-Sack Drive Vault</t>
  </si>
  <si>
    <t>05100871.000.txt</t>
  </si>
  <si>
    <t>Abrazo Arrowhead Campus-67 Avenue</t>
  </si>
  <si>
    <t>05100873.000.txt</t>
  </si>
  <si>
    <t>Abrazo Arrowhead Campus-Union Hills Drive</t>
  </si>
  <si>
    <t>00268004.000.txt</t>
  </si>
  <si>
    <t>Abrazo Central Campus-North Site</t>
  </si>
  <si>
    <t>00268003.000.txt</t>
  </si>
  <si>
    <t>Abrazo Central Campus-South Site</t>
  </si>
  <si>
    <t>00539801.000.txt</t>
  </si>
  <si>
    <t>Abrazo Maryvale Campus-North Site</t>
  </si>
  <si>
    <t>00539802.000.txt</t>
  </si>
  <si>
    <t>Abrazo Maryvale Campus-South Site</t>
  </si>
  <si>
    <t>02056502.000.txt</t>
  </si>
  <si>
    <t>Abrazo Scottsdale Campus-Parking Lot</t>
  </si>
  <si>
    <t>02147001.000.txt</t>
  </si>
  <si>
    <t>Angelica Textile Services-South side</t>
  </si>
  <si>
    <t>57667000.000.txt</t>
  </si>
  <si>
    <t>ASM America, Inc.- University Drive-University Drive Plant</t>
  </si>
  <si>
    <t>07021997.000.txt</t>
  </si>
  <si>
    <t>Banner - Boswell Hospital-Boswell Parshall</t>
  </si>
  <si>
    <t>00082001.000.txt</t>
  </si>
  <si>
    <t>Banner - Boswell Hospital-Boswell Palmer</t>
  </si>
  <si>
    <t>00100197.000.txt</t>
  </si>
  <si>
    <t>Banner - Del E. Webb Hospital-Dell Web Parshall</t>
  </si>
  <si>
    <t>02182801.000.txt</t>
  </si>
  <si>
    <t>Banner Estrella-Banner Estrella</t>
  </si>
  <si>
    <t>00000001.000.txt</t>
  </si>
  <si>
    <t>Banner Thunderbird Hospital-SouthEast</t>
  </si>
  <si>
    <t>00000002.000.txt</t>
  </si>
  <si>
    <t>Banner Thunderbird Hospital-SouthWest</t>
  </si>
  <si>
    <t>00000003.000.txt</t>
  </si>
  <si>
    <t>Banner Thunderbird Hospital-North</t>
  </si>
  <si>
    <t>00271003.000.txt</t>
  </si>
  <si>
    <t>Banner University Medical Center of Phoenix-11th street - 6inch</t>
  </si>
  <si>
    <t>00271004.000.txt</t>
  </si>
  <si>
    <t>Banner University Medical Center of Phoenix-10th street - Brill</t>
  </si>
  <si>
    <t>00271005.000.txt</t>
  </si>
  <si>
    <t>Banner University Medical Center of Phoenix-12th street - Willetta</t>
  </si>
  <si>
    <t>00111500.000.txt</t>
  </si>
  <si>
    <t>Baptist Village-Youngtown-Baptist Village- Youngtown</t>
  </si>
  <si>
    <t>05100102.000.txt</t>
  </si>
  <si>
    <t>BioTech Research Labs, Inc.-Flume</t>
  </si>
  <si>
    <t>02606101.000.txt</t>
  </si>
  <si>
    <t>Celgene Corporation-East Side</t>
  </si>
  <si>
    <t>02727802.000.txt</t>
  </si>
  <si>
    <t>Celgene Corporation-South Side</t>
  </si>
  <si>
    <t>00000007.000.txt</t>
  </si>
  <si>
    <t>Corning Optical Communications RF, LLC-Compliance Vault</t>
  </si>
  <si>
    <t>00041504.000.txt</t>
  </si>
  <si>
    <t>Dignity Health - St.Joseph's Hospital &amp; Medical Ce-ER-Entrance</t>
  </si>
  <si>
    <t>00010406.000.txt</t>
  </si>
  <si>
    <t>Dignity Health - St.Joseph's Hospital &amp; Medical Ce-Steinegger</t>
  </si>
  <si>
    <t>00033099.000.txt</t>
  </si>
  <si>
    <t>Dignity Health - St.Joseph's Hospital &amp; Medical Ce-Parking Bridge</t>
  </si>
  <si>
    <t>00000004.000.txt</t>
  </si>
  <si>
    <t>Dignity Health - St.Joseph's Hospital &amp; Medical Ce-NRC-Building</t>
  </si>
  <si>
    <t>05100013.000.txt</t>
  </si>
  <si>
    <t>Holsum Bakery, Inc.-North 23rd Ave</t>
  </si>
  <si>
    <t>05100016.000.txt</t>
  </si>
  <si>
    <t>HonorHealth Deer Valley Medical Center-Middle Entrance</t>
  </si>
  <si>
    <t>00537402.000.txt</t>
  </si>
  <si>
    <t>HonorHealth Deer Valley Medical Center-North Entrance</t>
  </si>
  <si>
    <t>00537403.000.txt</t>
  </si>
  <si>
    <t>HonorHealth Deer Valley Medical Center-South Entrance</t>
  </si>
  <si>
    <t>00270006.000.txt</t>
  </si>
  <si>
    <t>HonorHealth John C. Lincoln Medical Center-South</t>
  </si>
  <si>
    <t>00270003.000.txt</t>
  </si>
  <si>
    <t>HonorHealth John C. Lincoln Medical Center-North</t>
  </si>
  <si>
    <t>00270004.000.txt</t>
  </si>
  <si>
    <t>HonorHealth John C. Lincoln Medical Center-Center</t>
  </si>
  <si>
    <t>00267003.000.txt</t>
  </si>
  <si>
    <t>Maricopa Medical Center-Southwest corner</t>
  </si>
  <si>
    <t>00539501.000.txt</t>
  </si>
  <si>
    <t>Mayo Clinic Hospital-North Flume</t>
  </si>
  <si>
    <t>00539503.000.txt</t>
  </si>
  <si>
    <t>Mayo Clinic Hospital-South Flume</t>
  </si>
  <si>
    <t>02719101.000.txt</t>
  </si>
  <si>
    <t>Niagara Bottling, LLC-67th Avenue</t>
  </si>
  <si>
    <t>00188002.000.txt</t>
  </si>
  <si>
    <t>Pepsi-Cola Company-West Guard Shack</t>
  </si>
  <si>
    <t>02116901.000.txt</t>
  </si>
  <si>
    <t>Phoenix Children's Hospital-PICU</t>
  </si>
  <si>
    <t>02116902.000.txt</t>
  </si>
  <si>
    <t>Phoenix Children's Hospital-ER</t>
  </si>
  <si>
    <t>02116903.000.txt</t>
  </si>
  <si>
    <t>Phoenix Children's Hospital-3"</t>
  </si>
  <si>
    <t>02116904.000.txt</t>
  </si>
  <si>
    <t>Phoenix Children's Hospital-6"</t>
  </si>
  <si>
    <t>00000006.000.txt</t>
  </si>
  <si>
    <t>Procter &amp; Gamble Manufacturing Company-Southwest Parking Lot</t>
  </si>
  <si>
    <t>00239001.000.txt</t>
  </si>
  <si>
    <t>Sky Chefs-Northeast Corner</t>
  </si>
  <si>
    <t>00539701.000.txt</t>
  </si>
  <si>
    <t>Sunbelt Linen / Ameripride-Northwest side</t>
  </si>
  <si>
    <t>Abrazo Community Health Network</t>
  </si>
  <si>
    <t>AmeriPride Services, Inc</t>
  </si>
  <si>
    <t>Angelica Corporation</t>
  </si>
  <si>
    <t>Arrowhead Nestle Water</t>
  </si>
  <si>
    <t>ASM America</t>
  </si>
  <si>
    <t>Banner Health</t>
  </si>
  <si>
    <t>Bio Flora</t>
  </si>
  <si>
    <t>BioTech Research Labs</t>
  </si>
  <si>
    <t>Calibration Template.pdf</t>
  </si>
  <si>
    <t>Carollo Engineers, Inc</t>
  </si>
  <si>
    <t>Celgene Corporation</t>
  </si>
  <si>
    <t>Certified Inspection Services Co. Inc</t>
  </si>
  <si>
    <t>Chromalloy Arizona</t>
  </si>
  <si>
    <t>Cintas</t>
  </si>
  <si>
    <t>City of Avondale</t>
  </si>
  <si>
    <t>City of Buckeye</t>
  </si>
  <si>
    <t>City of Casa Grande</t>
  </si>
  <si>
    <t>City of Chandler</t>
  </si>
  <si>
    <t>City of Goodyear</t>
  </si>
  <si>
    <t>City of Mesa</t>
  </si>
  <si>
    <t>City of Phoenix</t>
  </si>
  <si>
    <t>City of Scottsdale</t>
  </si>
  <si>
    <t>City of Tempe</t>
  </si>
  <si>
    <t>Comfort Systems</t>
  </si>
  <si>
    <t>Construction Product Marketing</t>
  </si>
  <si>
    <t>Corning Optical Communications</t>
  </si>
  <si>
    <t>Covalence Laboratories</t>
  </si>
  <si>
    <t>Crothall Commercial Linen (Assured Client)</t>
  </si>
  <si>
    <t>Danny's Car Wash Quotes</t>
  </si>
  <si>
    <t>Dignity Health - St. Joseph's Hospital Medical Center</t>
  </si>
  <si>
    <t>Dotson Solutions</t>
  </si>
  <si>
    <t>DPR Construction</t>
  </si>
  <si>
    <t>DS Waters of America</t>
  </si>
  <si>
    <t>Earnest F. Mariani Co</t>
  </si>
  <si>
    <t>Envirosure</t>
  </si>
  <si>
    <t>EPCOR Water</t>
  </si>
  <si>
    <t>Falcon</t>
  </si>
  <si>
    <t>First Impression Security Doors</t>
  </si>
  <si>
    <t>Flow Meter Pricing</t>
  </si>
  <si>
    <t>Frito lay Pepsico</t>
  </si>
  <si>
    <t>Fuji Film</t>
  </si>
  <si>
    <t>GPS info about clients</t>
  </si>
  <si>
    <t>Gregory Packaging</t>
  </si>
  <si>
    <t>Hach</t>
  </si>
  <si>
    <t>Holsum Bakery Phoenix (HBP)</t>
  </si>
  <si>
    <t>HonorHealth</t>
  </si>
  <si>
    <t>Iasis Healthcare St. Lukes Medical Center</t>
  </si>
  <si>
    <t>Instrulink</t>
  </si>
  <si>
    <t>Intel</t>
  </si>
  <si>
    <t>JBS USA</t>
  </si>
  <si>
    <t>JRC Goodyear LLC</t>
  </si>
  <si>
    <t>Kaiser Aluminum</t>
  </si>
  <si>
    <t>La Canasta Mexican Food Products,Inc</t>
  </si>
  <si>
    <t>Lawrence Semiconductor</t>
  </si>
  <si>
    <t>LifeStream Complete Senior Living</t>
  </si>
  <si>
    <t>London Greens Association</t>
  </si>
  <si>
    <t>LSG SkyChefs-inc. (Assured Client)</t>
  </si>
  <si>
    <t>Main St. Real Estate Advisors</t>
  </si>
  <si>
    <t>Maricopa Integrated Health Systems</t>
  </si>
  <si>
    <t>Maryln Nutraceuticals, Inc. - Naturally Vitamins</t>
  </si>
  <si>
    <t>Mayo Clinic Arizona, Mayo Clinic Hospital (Assured Client)</t>
  </si>
  <si>
    <t>Mayo Clinic Arizona, Mayo Clinic Scottsdale</t>
  </si>
  <si>
    <t>Mercy Gilbert Medical Center (Assured Client)</t>
  </si>
  <si>
    <t>Mineral BioSciences</t>
  </si>
  <si>
    <t>Mountain Vista</t>
  </si>
  <si>
    <t>Pepsi Gatorade</t>
  </si>
  <si>
    <t>PepsiCo. Bottling Group, LLC</t>
  </si>
  <si>
    <t>Phoenix Children's Hospital</t>
  </si>
  <si>
    <t>Phoenix Pipelines Inc</t>
  </si>
  <si>
    <t>Pimalco Corporation</t>
  </si>
  <si>
    <t>Procter Gamble Manufacturing Co. - Teva (PGMC)</t>
  </si>
  <si>
    <t>Quantum</t>
  </si>
  <si>
    <t>Rexam Beverage Can Company</t>
  </si>
  <si>
    <t>Ricor</t>
  </si>
  <si>
    <t>Signetix Incorporated</t>
  </si>
  <si>
    <t>Southwestern Utilities</t>
  </si>
  <si>
    <t>St. Judes Medical</t>
  </si>
  <si>
    <t>Sterilite</t>
  </si>
  <si>
    <t>Synders of Hanover</t>
  </si>
  <si>
    <t>Test America</t>
  </si>
  <si>
    <t>The Dial Corporation, a Henkel Company</t>
  </si>
  <si>
    <t>Theranos</t>
  </si>
  <si>
    <t>Town of Gilbert</t>
  </si>
  <si>
    <t>Town of Queen Creek</t>
  </si>
  <si>
    <t>Trion Technology</t>
  </si>
  <si>
    <t>Triumph Fabrications</t>
  </si>
  <si>
    <t>TRW Mesa Operations</t>
  </si>
  <si>
    <t>ZA Meter Enclosure coating &amp; Vents</t>
  </si>
  <si>
    <t>Others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</si>
</sst>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[$-409]mmmm\-yy;@"/>
    <numFmt numFmtId="166" formatCode="[$-409]mmm\-yy;@"/>
  </numFmts>
  <fonts count="1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3">
    <xf numFmtId="0" fontId="0" fillId="0" borderId="0" xfId="0"/>
    <xf numFmtId="0" fontId="0" fillId="0" borderId="10" xfId="0" applyBorder="1" applyAlignment="1">
      <alignment horizontal="center" vertical="center"/>
    </xf>
    <xf numFmtId="164" fontId="0" fillId="0" borderId="10" xfId="0" applyNumberForma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64" fontId="0" fillId="0" borderId="15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165" fontId="0" fillId="0" borderId="16" xfId="0" applyNumberFormat="1" applyBorder="1" applyAlignment="1">
      <alignment horizontal="center" vertical="center"/>
    </xf>
    <xf numFmtId="166" fontId="17" fillId="0" borderId="16" xfId="0" applyNumberFormat="1" applyFont="1" applyBorder="1" applyAlignment="1">
      <alignment horizontal="center" vertical="center"/>
    </xf>
    <xf numFmtId="0" fontId="17" fillId="0" borderId="14" xfId="0" applyFont="1" applyBorder="1" applyAlignment="1">
      <alignment horizontal="center" vertical="center"/>
    </xf>
    <xf numFmtId="164" fontId="0" fillId="33" borderId="15" xfId="0" applyNumberFormat="1" applyFill="1" applyBorder="1" applyAlignment="1">
      <alignment horizontal="center" vertical="center"/>
    </xf>
    <xf numFmtId="0" fontId="18" fillId="0" borderId="0" xfId="0" applyFont="1" applyAlignment="1">
      <alignment horizontal="center"/>
    </xf>
    <xf numFmtId="22" fontId="0" fillId="33" borderId="14" xfId="0" applyNumberFormat="1" applyFill="1" applyBorder="1" applyAlignment="1">
      <alignment horizontal="center" vertical="center"/>
    </xf>
    <xf numFmtId="164" fontId="0" fillId="33" borderId="10" xfId="0" applyNumberFormat="1" applyFill="1" applyBorder="1" applyAlignment="1">
      <alignment horizontal="center" vertical="center"/>
    </xf>
    <xf numFmtId="0" fontId="0" fillId="0" borderId="0" xfId="0" applyNumberFormat="1"/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5"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95250</xdr:colOff>
      <xdr:row>0</xdr:row>
      <xdr:rowOff>219075</xdr:rowOff>
    </xdr:from>
    <xdr:to>
      <xdr:col>7</xdr:col>
      <xdr:colOff>342900</xdr:colOff>
      <xdr:row>2</xdr:row>
      <xdr:rowOff>66675</xdr:rowOff>
    </xdr:to>
    <xdr:sp macro="[0]!sbVBA_To_Open_Workbook_FileDialog" textlink="">
      <xdr:nvSpPr>
        <xdr:cNvPr id="2" name="Rounded Rectangle 1"/>
        <xdr:cNvSpPr/>
      </xdr:nvSpPr>
      <xdr:spPr>
        <a:xfrm>
          <a:off x="5019675" y="219075"/>
          <a:ext cx="1466850" cy="447675"/>
        </a:xfrm>
        <a:prstGeom prst="roundRect">
          <a:avLst/>
        </a:prstGeom>
        <a:ln w="28575"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bg1"/>
              </a:solidFill>
            </a:rPr>
            <a:t>IMPORT CSV</a:t>
          </a:r>
        </a:p>
      </xdr:txBody>
    </xdr:sp>
    <xdr:clientData/>
  </xdr:twoCellAnchor>
  <xdr:twoCellAnchor>
    <xdr:from>
      <xdr:col>5</xdr:col>
      <xdr:colOff>85725</xdr:colOff>
      <xdr:row>2</xdr:row>
      <xdr:rowOff>142875</xdr:rowOff>
    </xdr:from>
    <xdr:to>
      <xdr:col>7</xdr:col>
      <xdr:colOff>333375</xdr:colOff>
      <xdr:row>5</xdr:row>
      <xdr:rowOff>19050</xdr:rowOff>
    </xdr:to>
    <xdr:sp macro="[0]!ImportTextFile" textlink="">
      <xdr:nvSpPr>
        <xdr:cNvPr id="4" name="Rounded Rectangle 3"/>
        <xdr:cNvSpPr/>
      </xdr:nvSpPr>
      <xdr:spPr>
        <a:xfrm>
          <a:off x="5010150" y="742950"/>
          <a:ext cx="1466850" cy="447675"/>
        </a:xfrm>
        <a:prstGeom prst="roundRect">
          <a:avLst/>
        </a:prstGeom>
        <a:ln w="28575"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bg1"/>
              </a:solidFill>
            </a:rPr>
            <a:t>IMPORT TXT</a:t>
          </a:r>
        </a:p>
      </xdr:txBody>
    </xdr:sp>
    <xdr:clientData/>
  </xdr:twoCellAnchor>
  <xdr:twoCellAnchor>
    <xdr:from>
      <xdr:col>7</xdr:col>
      <xdr:colOff>419100</xdr:colOff>
      <xdr:row>5</xdr:row>
      <xdr:rowOff>76200</xdr:rowOff>
    </xdr:from>
    <xdr:to>
      <xdr:col>10</xdr:col>
      <xdr:colOff>57150</xdr:colOff>
      <xdr:row>7</xdr:row>
      <xdr:rowOff>142875</xdr:rowOff>
    </xdr:to>
    <xdr:sp macro="[0]!Macro1" textlink="">
      <xdr:nvSpPr>
        <xdr:cNvPr id="5" name="Rounded Rectangle 4"/>
        <xdr:cNvSpPr/>
      </xdr:nvSpPr>
      <xdr:spPr>
        <a:xfrm>
          <a:off x="6562725" y="1247775"/>
          <a:ext cx="1466850" cy="447675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bg1"/>
              </a:solidFill>
            </a:rPr>
            <a:t>GENERATE</a:t>
          </a:r>
        </a:p>
      </xdr:txBody>
    </xdr:sp>
    <xdr:clientData/>
  </xdr:twoCellAnchor>
  <xdr:twoCellAnchor>
    <xdr:from>
      <xdr:col>5</xdr:col>
      <xdr:colOff>85725</xdr:colOff>
      <xdr:row>5</xdr:row>
      <xdr:rowOff>76200</xdr:rowOff>
    </xdr:from>
    <xdr:to>
      <xdr:col>7</xdr:col>
      <xdr:colOff>342900</xdr:colOff>
      <xdr:row>7</xdr:row>
      <xdr:rowOff>142875</xdr:rowOff>
    </xdr:to>
    <xdr:sp macro="[0]!Verify_Click" textlink="">
      <xdr:nvSpPr>
        <xdr:cNvPr id="9" name="Rounded Rectangle 8"/>
        <xdr:cNvSpPr/>
      </xdr:nvSpPr>
      <xdr:spPr>
        <a:xfrm>
          <a:off x="5010150" y="1247775"/>
          <a:ext cx="1476375" cy="447675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bg1"/>
              </a:solidFill>
            </a:rPr>
            <a:t>ANALYZE</a:t>
          </a:r>
        </a:p>
      </xdr:txBody>
    </xdr:sp>
    <xdr:clientData/>
  </xdr:twoCellAnchor>
  <xdr:twoCellAnchor>
    <xdr:from>
      <xdr:col>7</xdr:col>
      <xdr:colOff>419100</xdr:colOff>
      <xdr:row>0</xdr:row>
      <xdr:rowOff>219075</xdr:rowOff>
    </xdr:from>
    <xdr:to>
      <xdr:col>10</xdr:col>
      <xdr:colOff>57150</xdr:colOff>
      <xdr:row>2</xdr:row>
      <xdr:rowOff>66675</xdr:rowOff>
    </xdr:to>
    <xdr:sp macro="[0]!BatchCSV" textlink="">
      <xdr:nvSpPr>
        <xdr:cNvPr id="8" name="Rounded Rectangle 7"/>
        <xdr:cNvSpPr/>
      </xdr:nvSpPr>
      <xdr:spPr>
        <a:xfrm>
          <a:off x="6562725" y="219075"/>
          <a:ext cx="1466850" cy="447675"/>
        </a:xfrm>
        <a:prstGeom prst="roundRect">
          <a:avLst/>
        </a:prstGeom>
        <a:ln w="28575"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bg1"/>
              </a:solidFill>
            </a:rPr>
            <a:t>BATCH CSV</a:t>
          </a:r>
        </a:p>
      </xdr:txBody>
    </xdr:sp>
    <xdr:clientData/>
  </xdr:twoCellAnchor>
  <xdr:twoCellAnchor>
    <xdr:from>
      <xdr:col>7</xdr:col>
      <xdr:colOff>409575</xdr:colOff>
      <xdr:row>2</xdr:row>
      <xdr:rowOff>133350</xdr:rowOff>
    </xdr:from>
    <xdr:to>
      <xdr:col>10</xdr:col>
      <xdr:colOff>47625</xdr:colOff>
      <xdr:row>5</xdr:row>
      <xdr:rowOff>9525</xdr:rowOff>
    </xdr:to>
    <xdr:sp macro="[0]!BatchTxt" textlink="">
      <xdr:nvSpPr>
        <xdr:cNvPr id="11" name="Rounded Rectangle 10"/>
        <xdr:cNvSpPr/>
      </xdr:nvSpPr>
      <xdr:spPr>
        <a:xfrm>
          <a:off x="6553200" y="733425"/>
          <a:ext cx="1466850" cy="447675"/>
        </a:xfrm>
        <a:prstGeom prst="roundRect">
          <a:avLst/>
        </a:prstGeom>
        <a:ln w="28575"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bg1"/>
              </a:solidFill>
            </a:rPr>
            <a:t>BATCH TXT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44"/>
  <sheetViews>
    <sheetView tabSelected="1" workbookViewId="0">
      <selection activeCell="G23" sqref="G23"/>
    </sheetView>
  </sheetViews>
  <sheetFormatPr defaultRowHeight="14.25"/>
  <cols>
    <col min="1" max="1" width="14.875" bestFit="1" customWidth="1"/>
    <col min="2" max="2" width="17.75" bestFit="1" customWidth="1"/>
    <col min="3" max="3" width="13.75" bestFit="1" customWidth="1"/>
    <col min="4" max="4" width="13.625" bestFit="1" customWidth="1"/>
    <col min="5" max="5" width="14" bestFit="1" customWidth="1"/>
  </cols>
  <sheetData>
    <row r="1" spans="1:5" ht="32.25" customHeight="1">
      <c r="A1" s="7" t="s">
        <v>0</v>
      </c>
      <c r="B1" s="18" t="s">
        <v>25</v>
      </c>
      <c r="C1" s="18"/>
      <c r="D1" s="18"/>
      <c r="E1" s="19"/>
    </row>
    <row r="2" spans="1:5">
      <c r="A2" s="3" t="s">
        <v>1</v>
      </c>
      <c r="B2" s="1" t="s">
        <v>4</v>
      </c>
      <c r="C2" s="1" t="s">
        <v>5</v>
      </c>
      <c r="D2" s="1" t="s">
        <v>6</v>
      </c>
      <c r="E2" s="4" t="s">
        <v>7</v>
      </c>
    </row>
    <row r="3" spans="1:5">
      <c r="A3" s="3" t="s">
        <v>2</v>
      </c>
      <c r="B3" s="1" t="s">
        <v>3</v>
      </c>
      <c r="C3" s="1" t="s">
        <v>3</v>
      </c>
      <c r="D3" s="1" t="s">
        <v>3</v>
      </c>
      <c r="E3" s="4" t="s">
        <v>8</v>
      </c>
    </row>
    <row r="4" spans="1:5">
      <c r="A4" s="15">
        <v>42736</v>
      </c>
      <c r="B4" s="16">
        <v>144.762</v>
      </c>
      <c r="C4" s="16">
        <v>21.83</v>
      </c>
      <c r="D4" s="16">
        <f>E4/1440</f>
        <v>44.606875000000009</v>
      </c>
      <c r="E4" s="13">
        <v>64233.900000000009</v>
      </c>
    </row>
    <row r="5" spans="1:5">
      <c r="A5" s="15">
        <v>42737</v>
      </c>
      <c r="B5" s="16">
        <v>146.22</v>
      </c>
      <c r="C5" s="16">
        <v>18.867999999999999</v>
      </c>
      <c r="D5" s="16">
        <f t="shared" ref="D5:D34" si="0">E5/1440</f>
        <v>45.756250000000001</v>
      </c>
      <c r="E5" s="13">
        <v>65889</v>
      </c>
    </row>
    <row r="6" spans="1:5">
      <c r="A6" s="15">
        <v>42738</v>
      </c>
      <c r="B6" s="16">
        <v>168.131</v>
      </c>
      <c r="C6" s="16">
        <v>22.413</v>
      </c>
      <c r="D6" s="16">
        <f t="shared" si="0"/>
        <v>58.166666666666664</v>
      </c>
      <c r="E6" s="13">
        <v>83760</v>
      </c>
    </row>
    <row r="7" spans="1:5">
      <c r="A7" s="15">
        <v>42739</v>
      </c>
      <c r="B7" s="16">
        <v>209.179</v>
      </c>
      <c r="C7" s="16">
        <v>19.640999999999998</v>
      </c>
      <c r="D7" s="16">
        <f t="shared" si="0"/>
        <v>60.379861111111111</v>
      </c>
      <c r="E7" s="13">
        <v>86947</v>
      </c>
    </row>
    <row r="8" spans="1:5">
      <c r="A8" s="15">
        <v>42740</v>
      </c>
      <c r="B8" s="16">
        <v>152.16800000000001</v>
      </c>
      <c r="C8" s="16">
        <v>17.245000000000001</v>
      </c>
      <c r="D8" s="16">
        <f t="shared" si="0"/>
        <v>60.276458333333338</v>
      </c>
      <c r="E8" s="13">
        <v>86798.1</v>
      </c>
    </row>
    <row r="9" spans="1:5">
      <c r="A9" s="15">
        <v>42741</v>
      </c>
      <c r="B9" s="16">
        <v>173.797</v>
      </c>
      <c r="C9" s="16">
        <v>19.422000000000001</v>
      </c>
      <c r="D9" s="16">
        <f t="shared" si="0"/>
        <v>57.796666666666674</v>
      </c>
      <c r="E9" s="13">
        <v>83227.200000000012</v>
      </c>
    </row>
    <row r="10" spans="1:5">
      <c r="A10" s="15">
        <v>42742</v>
      </c>
      <c r="B10" s="16">
        <v>163.184</v>
      </c>
      <c r="C10" s="16">
        <v>16.45</v>
      </c>
      <c r="D10" s="16">
        <f t="shared" si="0"/>
        <v>45.418958333333336</v>
      </c>
      <c r="E10" s="13">
        <v>65403.3</v>
      </c>
    </row>
    <row r="11" spans="1:5">
      <c r="A11" s="15">
        <v>42743</v>
      </c>
      <c r="B11" s="16">
        <v>198.84</v>
      </c>
      <c r="C11" s="16">
        <v>18.337</v>
      </c>
      <c r="D11" s="16">
        <f t="shared" si="0"/>
        <v>43.938472222222231</v>
      </c>
      <c r="E11" s="13">
        <v>63271.400000000009</v>
      </c>
    </row>
    <row r="12" spans="1:5">
      <c r="A12" s="15">
        <v>42744</v>
      </c>
      <c r="B12" s="16">
        <v>224.82900000000001</v>
      </c>
      <c r="C12" s="16">
        <v>20.045999999999999</v>
      </c>
      <c r="D12" s="16">
        <f t="shared" si="0"/>
        <v>56.333194444444445</v>
      </c>
      <c r="E12" s="13">
        <v>81119.8</v>
      </c>
    </row>
    <row r="13" spans="1:5">
      <c r="A13" s="15">
        <v>42745</v>
      </c>
      <c r="B13" s="16">
        <v>238.50700000000001</v>
      </c>
      <c r="C13" s="16">
        <v>20.507999999999999</v>
      </c>
      <c r="D13" s="16">
        <f t="shared" si="0"/>
        <v>66.149375000000006</v>
      </c>
      <c r="E13" s="13">
        <v>95255.1</v>
      </c>
    </row>
    <row r="14" spans="1:5">
      <c r="A14" s="15">
        <v>42746</v>
      </c>
      <c r="B14" s="16">
        <v>273.976</v>
      </c>
      <c r="C14" s="16">
        <v>27.747</v>
      </c>
      <c r="D14" s="16">
        <f t="shared" si="0"/>
        <v>83.543472222222221</v>
      </c>
      <c r="E14" s="13">
        <v>120302.6</v>
      </c>
    </row>
    <row r="15" spans="1:5">
      <c r="A15" s="15">
        <v>42747</v>
      </c>
      <c r="B15" s="16">
        <v>133.00299999999999</v>
      </c>
      <c r="C15" s="16">
        <v>27.989000000000001</v>
      </c>
      <c r="D15" s="16">
        <f t="shared" si="0"/>
        <v>64.533194444444447</v>
      </c>
      <c r="E15" s="13">
        <v>92927.8</v>
      </c>
    </row>
    <row r="16" spans="1:5">
      <c r="A16" s="15">
        <v>42748</v>
      </c>
      <c r="B16" s="16">
        <v>197.179</v>
      </c>
      <c r="C16" s="16">
        <v>24.420999999999999</v>
      </c>
      <c r="D16" s="16">
        <f t="shared" si="0"/>
        <v>60.754444444444452</v>
      </c>
      <c r="E16" s="13">
        <v>87486.400000000009</v>
      </c>
    </row>
    <row r="17" spans="1:5">
      <c r="A17" s="15">
        <v>42749</v>
      </c>
      <c r="B17" s="16">
        <v>195.68299999999999</v>
      </c>
      <c r="C17" s="16">
        <v>23.981999999999999</v>
      </c>
      <c r="D17" s="16">
        <f t="shared" si="0"/>
        <v>61.358541666666667</v>
      </c>
      <c r="E17" s="13">
        <v>88356.3</v>
      </c>
    </row>
    <row r="18" spans="1:5">
      <c r="A18" s="15">
        <v>42750</v>
      </c>
      <c r="B18" s="16">
        <v>183.916</v>
      </c>
      <c r="C18" s="16">
        <v>25.096</v>
      </c>
      <c r="D18" s="16">
        <f t="shared" si="0"/>
        <v>49.633055555555558</v>
      </c>
      <c r="E18" s="13">
        <v>71471.600000000006</v>
      </c>
    </row>
    <row r="19" spans="1:5">
      <c r="A19" s="15">
        <v>42751</v>
      </c>
      <c r="B19" s="16">
        <v>228.017</v>
      </c>
      <c r="C19" s="16">
        <v>24.289000000000001</v>
      </c>
      <c r="D19" s="16">
        <f t="shared" si="0"/>
        <v>63.807847222222222</v>
      </c>
      <c r="E19" s="13">
        <v>91883.3</v>
      </c>
    </row>
    <row r="20" spans="1:5">
      <c r="A20" s="15">
        <v>42752</v>
      </c>
      <c r="B20" s="16">
        <v>125.47499999999999</v>
      </c>
      <c r="C20" s="16">
        <v>26.635999999999999</v>
      </c>
      <c r="D20" s="16">
        <f t="shared" si="0"/>
        <v>66.705694444444447</v>
      </c>
      <c r="E20" s="13">
        <v>96056.2</v>
      </c>
    </row>
    <row r="21" spans="1:5">
      <c r="A21" s="15">
        <v>42753</v>
      </c>
      <c r="B21" s="16">
        <v>231.90100000000001</v>
      </c>
      <c r="C21" s="16">
        <v>28.073</v>
      </c>
      <c r="D21" s="16">
        <f t="shared" si="0"/>
        <v>74.350555555555545</v>
      </c>
      <c r="E21" s="13">
        <v>107064.79999999999</v>
      </c>
    </row>
    <row r="22" spans="1:5">
      <c r="A22" s="15">
        <v>42754</v>
      </c>
      <c r="B22" s="16">
        <v>241.79400000000001</v>
      </c>
      <c r="C22" s="16">
        <v>26.164999999999999</v>
      </c>
      <c r="D22" s="16">
        <f t="shared" si="0"/>
        <v>67.279375000000002</v>
      </c>
      <c r="E22" s="13">
        <v>96882.3</v>
      </c>
    </row>
    <row r="23" spans="1:5">
      <c r="A23" s="15">
        <v>42755</v>
      </c>
      <c r="B23" s="16">
        <v>188.28800000000001</v>
      </c>
      <c r="C23" s="16">
        <v>24.437999999999999</v>
      </c>
      <c r="D23" s="16">
        <f t="shared" si="0"/>
        <v>66.84930555555556</v>
      </c>
      <c r="E23" s="13">
        <v>96263</v>
      </c>
    </row>
    <row r="24" spans="1:5">
      <c r="A24" s="15">
        <v>42756</v>
      </c>
      <c r="B24" s="16">
        <v>205.136</v>
      </c>
      <c r="C24" s="16">
        <v>27.062000000000001</v>
      </c>
      <c r="D24" s="16">
        <f t="shared" si="0"/>
        <v>59.418333333333337</v>
      </c>
      <c r="E24" s="13">
        <v>85562.400000000009</v>
      </c>
    </row>
    <row r="25" spans="1:5">
      <c r="A25" s="15">
        <v>42757</v>
      </c>
      <c r="B25" s="16">
        <v>187.52600000000001</v>
      </c>
      <c r="C25" s="16">
        <v>26.225000000000001</v>
      </c>
      <c r="D25" s="16">
        <f t="shared" si="0"/>
        <v>56.301805555555546</v>
      </c>
      <c r="E25" s="13">
        <v>81074.599999999991</v>
      </c>
    </row>
    <row r="26" spans="1:5">
      <c r="A26" s="15">
        <v>42758</v>
      </c>
      <c r="B26" s="16">
        <v>184.51599999999999</v>
      </c>
      <c r="C26" s="16">
        <v>24.266999999999999</v>
      </c>
      <c r="D26" s="16">
        <f t="shared" si="0"/>
        <v>66.867916666666673</v>
      </c>
      <c r="E26" s="13">
        <v>96289.8</v>
      </c>
    </row>
    <row r="27" spans="1:5">
      <c r="A27" s="15">
        <v>42759</v>
      </c>
      <c r="B27" s="16">
        <v>143.62</v>
      </c>
      <c r="C27" s="16">
        <v>26.869</v>
      </c>
      <c r="D27" s="16">
        <f t="shared" si="0"/>
        <v>73.424930555555548</v>
      </c>
      <c r="E27" s="13">
        <v>105731.9</v>
      </c>
    </row>
    <row r="28" spans="1:5">
      <c r="A28" s="15">
        <v>42760</v>
      </c>
      <c r="B28" s="16">
        <v>177.44</v>
      </c>
      <c r="C28" s="16">
        <v>26.094999999999999</v>
      </c>
      <c r="D28" s="16">
        <f t="shared" si="0"/>
        <v>70.69083333333333</v>
      </c>
      <c r="E28" s="13">
        <v>101794.8</v>
      </c>
    </row>
    <row r="29" spans="1:5">
      <c r="A29" s="15">
        <v>42761</v>
      </c>
      <c r="B29" s="16">
        <v>198.131</v>
      </c>
      <c r="C29" s="16">
        <v>25.724</v>
      </c>
      <c r="D29" s="16">
        <f t="shared" si="0"/>
        <v>64.96263888888889</v>
      </c>
      <c r="E29" s="13">
        <v>93546.2</v>
      </c>
    </row>
    <row r="30" spans="1:5">
      <c r="A30" s="15">
        <v>42762</v>
      </c>
      <c r="B30" s="16">
        <v>139.18199999999999</v>
      </c>
      <c r="C30" s="16">
        <v>26.035</v>
      </c>
      <c r="D30" s="16">
        <f t="shared" si="0"/>
        <v>63.460972222222225</v>
      </c>
      <c r="E30" s="13">
        <v>91383.8</v>
      </c>
    </row>
    <row r="31" spans="1:5">
      <c r="A31" s="15">
        <v>42763</v>
      </c>
      <c r="B31" s="16">
        <v>204.738</v>
      </c>
      <c r="C31" s="16">
        <v>22.962</v>
      </c>
      <c r="D31" s="16">
        <f t="shared" si="0"/>
        <v>54.97902777777778</v>
      </c>
      <c r="E31" s="13">
        <v>79169.8</v>
      </c>
    </row>
    <row r="32" spans="1:5">
      <c r="A32" s="15">
        <v>42764</v>
      </c>
      <c r="B32" s="16">
        <v>192.09899999999999</v>
      </c>
      <c r="C32" s="16">
        <v>25.154</v>
      </c>
      <c r="D32" s="16">
        <f t="shared" si="0"/>
        <v>54.76166666666667</v>
      </c>
      <c r="E32" s="13">
        <v>78856.800000000003</v>
      </c>
    </row>
    <row r="33" spans="1:5">
      <c r="A33" s="15">
        <v>42765</v>
      </c>
      <c r="B33" s="16">
        <v>144.44900000000001</v>
      </c>
      <c r="C33" s="16">
        <v>24.236000000000001</v>
      </c>
      <c r="D33" s="16">
        <f t="shared" si="0"/>
        <v>67.48</v>
      </c>
      <c r="E33" s="13">
        <v>97171.199999999997</v>
      </c>
    </row>
    <row r="34" spans="1:5">
      <c r="A34" s="15">
        <v>42766</v>
      </c>
      <c r="B34" s="16">
        <v>261.74799999999999</v>
      </c>
      <c r="C34" s="16">
        <v>27.673999999999999</v>
      </c>
      <c r="D34" s="16">
        <f t="shared" si="0"/>
        <v>86.496736111111119</v>
      </c>
      <c r="E34" s="13">
        <v>124555.30000000002</v>
      </c>
    </row>
    <row r="35" spans="1:5">
      <c r="A35" s="12" t="str">
        <f>TEXT(A4, "mmm yy")</f>
        <v>Jan 17</v>
      </c>
      <c r="B35" s="1" t="s">
        <v>9</v>
      </c>
      <c r="C35" s="1" t="s">
        <v>10</v>
      </c>
      <c r="D35" s="1" t="s">
        <v>11</v>
      </c>
      <c r="E35" s="4" t="s">
        <v>12</v>
      </c>
    </row>
    <row r="36" spans="1:5">
      <c r="A36" s="12" t="str">
        <f>TEXT(A4, "mmm yy")</f>
        <v>Jan 17</v>
      </c>
      <c r="B36" s="2">
        <f>MAX(B4:B34)</f>
        <v>273.976</v>
      </c>
      <c r="C36" s="2">
        <f>MIN(C4:C34)</f>
        <v>16.45</v>
      </c>
      <c r="D36" s="2">
        <f>AVERAGE(D4:D34)</f>
        <v>61.822036290322579</v>
      </c>
      <c r="E36" s="8">
        <f>AVERAGE(E4:E34)</f>
        <v>89023.732258064512</v>
      </c>
    </row>
    <row r="37" spans="1:5" ht="15" thickBot="1">
      <c r="A37" s="11" t="str">
        <f>TEXT(A4, "mmm yy")</f>
        <v>Jan 17</v>
      </c>
      <c r="B37" s="5" t="s">
        <v>3</v>
      </c>
      <c r="C37" s="5" t="s">
        <v>3</v>
      </c>
      <c r="D37" s="5" t="s">
        <v>3</v>
      </c>
      <c r="E37" s="6" t="s">
        <v>8</v>
      </c>
    </row>
    <row r="38" spans="1:5" ht="15" thickBot="1"/>
    <row r="39" spans="1:5">
      <c r="B39" s="20" t="s">
        <v>13</v>
      </c>
      <c r="C39" s="21"/>
      <c r="D39" s="22"/>
    </row>
    <row r="40" spans="1:5">
      <c r="A40" s="14">
        <v>0</v>
      </c>
      <c r="B40" s="3" t="s">
        <v>14</v>
      </c>
      <c r="C40" s="1" t="s">
        <v>15</v>
      </c>
      <c r="D40" s="4" t="s">
        <v>16</v>
      </c>
    </row>
    <row r="41" spans="1:5">
      <c r="A41" s="14" t="str">
        <f>IF(A40=1,CONCATENATE((TEXT(A4,"mmm yy"))," (Corrected)"),IF(A40=2,CONCATENATE((TEXT(A4,"mmm yy"))," @"),TEXT(A4,"mmm yy")))</f>
        <v>Jan 17</v>
      </c>
      <c r="B41" s="3" t="s">
        <v>17</v>
      </c>
      <c r="C41" s="2">
        <f>MAX(E4:E34)</f>
        <v>124555.30000000002</v>
      </c>
      <c r="D41" s="4" t="s">
        <v>19</v>
      </c>
    </row>
    <row r="42" spans="1:5">
      <c r="B42" s="3" t="s">
        <v>18</v>
      </c>
      <c r="C42" s="2">
        <f>MIN(E4:E34)</f>
        <v>63271.400000000009</v>
      </c>
      <c r="D42" s="4" t="s">
        <v>19</v>
      </c>
    </row>
    <row r="43" spans="1:5">
      <c r="B43" s="3" t="s">
        <v>12</v>
      </c>
      <c r="C43" s="2">
        <f>AVERAGE(E4:E34)</f>
        <v>89023.732258064512</v>
      </c>
      <c r="D43" s="4" t="s">
        <v>19</v>
      </c>
    </row>
    <row r="44" spans="1:5" ht="15" thickBot="1">
      <c r="B44" s="10" t="str">
        <f>CONCATENATE("Total Flow - ", TEXT(A4,"mmm yy"))</f>
        <v>Total Flow - Jan 17</v>
      </c>
      <c r="C44" s="9">
        <f>SUM(E4:E34)</f>
        <v>2759735.6999999997</v>
      </c>
      <c r="D44" s="6" t="s">
        <v>8</v>
      </c>
    </row>
  </sheetData>
  <mergeCells count="2">
    <mergeCell ref="B1:E1"/>
    <mergeCell ref="B39:D39"/>
  </mergeCells>
  <conditionalFormatting sqref="B1:E1">
    <cfRule type="containsBlanks" dxfId="4" priority="6">
      <formula>LEN(TRIM(B1))=0</formula>
    </cfRule>
  </conditionalFormatting>
  <conditionalFormatting sqref="A4:D34">
    <cfRule type="containsBlanks" dxfId="3" priority="5">
      <formula>LEN(TRIM(A4))=0</formula>
    </cfRule>
  </conditionalFormatting>
  <conditionalFormatting sqref="E4:E34">
    <cfRule type="top10" dxfId="2" priority="1" bottom="1" rank="1"/>
    <cfRule type="top10" dxfId="1" priority="2" rank="1"/>
    <cfRule type="containsBlanks" dxfId="0" priority="3">
      <formula>LEN(TRIM(E4))=0</formula>
    </cfRule>
  </conditionalFormatting>
  <pageMargins left="1.29" right="0.7" top="0.75" bottom="0.75" header="0.3" footer="0.3"/>
  <pageSetup orientation="portrait" horizontalDpi="4294967292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50"/>
  <sheetViews>
    <sheetView workbookViewId="0">
      <selection activeCell="B17" sqref="B17"/>
    </sheetView>
  </sheetViews>
  <sheetFormatPr defaultRowHeight="14.25"/>
  <cols>
    <col min="1" max="1" width="23.125" customWidth="1"/>
    <col min="2" max="2" width="61.25" bestFit="1" customWidth="1"/>
  </cols>
  <sheetData>
    <row r="1" spans="1:2">
      <c r="A1" t="s">
        <v>80</v>
      </c>
      <c r="B1" t="s">
        <v>81</v>
      </c>
    </row>
    <row r="2" spans="1:2">
      <c r="A2" t="s">
        <v>20</v>
      </c>
      <c r="B2" t="s">
        <v>21</v>
      </c>
    </row>
    <row r="3" spans="1:2">
      <c r="A3" t="s">
        <v>22</v>
      </c>
      <c r="B3" t="s">
        <v>23</v>
      </c>
    </row>
    <row r="4" spans="1:2">
      <c r="A4" t="s">
        <v>24</v>
      </c>
      <c r="B4" t="s">
        <v>25</v>
      </c>
    </row>
    <row r="5" spans="1:2">
      <c r="A5" t="s">
        <v>26</v>
      </c>
      <c r="B5" t="s">
        <v>27</v>
      </c>
    </row>
    <row r="6" spans="1:2">
      <c r="A6" t="s">
        <v>28</v>
      </c>
      <c r="B6" t="s">
        <v>29</v>
      </c>
    </row>
    <row r="7" spans="1:2">
      <c r="A7" t="s">
        <v>30</v>
      </c>
      <c r="B7" t="s">
        <v>31</v>
      </c>
    </row>
    <row r="8" spans="1:2">
      <c r="A8" t="s">
        <v>32</v>
      </c>
      <c r="B8" t="s">
        <v>33</v>
      </c>
    </row>
    <row r="9" spans="1:2">
      <c r="A9" t="s">
        <v>34</v>
      </c>
      <c r="B9" t="s">
        <v>35</v>
      </c>
    </row>
    <row r="10" spans="1:2">
      <c r="A10" t="s">
        <v>36</v>
      </c>
      <c r="B10" t="s">
        <v>37</v>
      </c>
    </row>
    <row r="11" spans="1:2">
      <c r="A11" t="s">
        <v>38</v>
      </c>
      <c r="B11" t="s">
        <v>39</v>
      </c>
    </row>
    <row r="12" spans="1:2">
      <c r="A12" t="s">
        <v>40</v>
      </c>
      <c r="B12" t="s">
        <v>41</v>
      </c>
    </row>
    <row r="13" spans="1:2">
      <c r="A13" t="s">
        <v>42</v>
      </c>
      <c r="B13" t="s">
        <v>43</v>
      </c>
    </row>
    <row r="14" spans="1:2">
      <c r="A14" t="s">
        <v>44</v>
      </c>
      <c r="B14" t="s">
        <v>45</v>
      </c>
    </row>
    <row r="15" spans="1:2">
      <c r="A15" t="s">
        <v>46</v>
      </c>
      <c r="B15" t="s">
        <v>47</v>
      </c>
    </row>
    <row r="16" spans="1:2">
      <c r="A16" t="s">
        <v>48</v>
      </c>
      <c r="B16" t="s">
        <v>49</v>
      </c>
    </row>
    <row r="17" spans="1:2">
      <c r="A17" t="s">
        <v>50</v>
      </c>
      <c r="B17" t="s">
        <v>51</v>
      </c>
    </row>
    <row r="18" spans="1:2">
      <c r="A18" t="s">
        <v>52</v>
      </c>
      <c r="B18" t="s">
        <v>53</v>
      </c>
    </row>
    <row r="19" spans="1:2">
      <c r="A19" t="s">
        <v>54</v>
      </c>
      <c r="B19" t="s">
        <v>55</v>
      </c>
    </row>
    <row r="20" spans="1:2">
      <c r="A20" t="s">
        <v>56</v>
      </c>
      <c r="B20" t="s">
        <v>57</v>
      </c>
    </row>
    <row r="21" spans="1:2">
      <c r="A21" t="s">
        <v>58</v>
      </c>
      <c r="B21" t="s">
        <v>59</v>
      </c>
    </row>
    <row r="22" spans="1:2">
      <c r="A22" t="s">
        <v>60</v>
      </c>
      <c r="B22" t="s">
        <v>61</v>
      </c>
    </row>
    <row r="23" spans="1:2">
      <c r="A23" t="s">
        <v>62</v>
      </c>
      <c r="B23" t="s">
        <v>63</v>
      </c>
    </row>
    <row r="24" spans="1:2">
      <c r="A24" t="s">
        <v>64</v>
      </c>
      <c r="B24" t="s">
        <v>65</v>
      </c>
    </row>
    <row r="25" spans="1:2">
      <c r="A25" t="s">
        <v>66</v>
      </c>
      <c r="B25" t="s">
        <v>67</v>
      </c>
    </row>
    <row r="26" spans="1:2">
      <c r="A26" t="s">
        <v>68</v>
      </c>
      <c r="B26" t="s">
        <v>69</v>
      </c>
    </row>
    <row r="27" spans="1:2">
      <c r="A27" t="s">
        <v>70</v>
      </c>
      <c r="B27" t="s">
        <v>71</v>
      </c>
    </row>
    <row r="28" spans="1:2">
      <c r="A28" t="s">
        <v>72</v>
      </c>
      <c r="B28" t="s">
        <v>73</v>
      </c>
    </row>
    <row r="29" spans="1:2">
      <c r="A29" t="s">
        <v>74</v>
      </c>
      <c r="B29" t="s">
        <v>75</v>
      </c>
    </row>
    <row r="30" spans="1:2">
      <c r="A30" t="s">
        <v>76</v>
      </c>
      <c r="B30" t="s">
        <v>77</v>
      </c>
    </row>
    <row r="31" spans="1:2">
      <c r="A31" t="s">
        <v>78</v>
      </c>
      <c r="B31" t="s">
        <v>79</v>
      </c>
    </row>
    <row r="32" spans="1:2">
      <c r="A32" t="s">
        <v>82</v>
      </c>
      <c r="B32" t="s">
        <v>83</v>
      </c>
    </row>
    <row r="33" spans="1:2">
      <c r="A33" t="s">
        <v>84</v>
      </c>
      <c r="B33" t="s">
        <v>85</v>
      </c>
    </row>
    <row r="34" spans="1:2">
      <c r="A34" t="s">
        <v>86</v>
      </c>
      <c r="B34" t="s">
        <v>87</v>
      </c>
    </row>
    <row r="35" spans="1:2">
      <c r="A35" t="s">
        <v>88</v>
      </c>
      <c r="B35" t="s">
        <v>89</v>
      </c>
    </row>
    <row r="36" spans="1:2">
      <c r="A36" t="s">
        <v>90</v>
      </c>
      <c r="B36" t="s">
        <v>91</v>
      </c>
    </row>
    <row r="37" spans="1:2">
      <c r="A37" t="s">
        <v>92</v>
      </c>
      <c r="B37" t="s">
        <v>93</v>
      </c>
    </row>
    <row r="38" spans="1:2">
      <c r="A38" t="s">
        <v>94</v>
      </c>
      <c r="B38" t="s">
        <v>95</v>
      </c>
    </row>
    <row r="39" spans="1:2">
      <c r="A39" t="s">
        <v>96</v>
      </c>
      <c r="B39" t="s">
        <v>97</v>
      </c>
    </row>
    <row r="40" spans="1:2">
      <c r="A40" t="s">
        <v>98</v>
      </c>
      <c r="B40" t="s">
        <v>99</v>
      </c>
    </row>
    <row r="41" spans="1:2">
      <c r="A41" t="s">
        <v>100</v>
      </c>
      <c r="B41" t="s">
        <v>101</v>
      </c>
    </row>
    <row r="42" spans="1:2">
      <c r="A42" t="s">
        <v>102</v>
      </c>
      <c r="B42" t="s">
        <v>103</v>
      </c>
    </row>
    <row r="43" spans="1:2">
      <c r="A43" t="s">
        <v>104</v>
      </c>
      <c r="B43" t="s">
        <v>105</v>
      </c>
    </row>
    <row r="44" spans="1:2">
      <c r="A44" t="s">
        <v>106</v>
      </c>
      <c r="B44" t="s">
        <v>107</v>
      </c>
    </row>
    <row r="45" spans="1:2">
      <c r="A45" t="s">
        <v>108</v>
      </c>
      <c r="B45" t="s">
        <v>109</v>
      </c>
    </row>
    <row r="46" spans="1:2">
      <c r="A46" t="s">
        <v>110</v>
      </c>
      <c r="B46" t="s">
        <v>111</v>
      </c>
    </row>
    <row r="47" spans="1:2">
      <c r="A47" t="s">
        <v>112</v>
      </c>
      <c r="B47" t="s">
        <v>113</v>
      </c>
    </row>
    <row r="48" spans="1:2">
      <c r="A48" t="s">
        <v>114</v>
      </c>
      <c r="B48" t="s">
        <v>115</v>
      </c>
    </row>
    <row r="49" spans="1:2">
      <c r="A49" t="s">
        <v>116</v>
      </c>
      <c r="B49" t="s">
        <v>117</v>
      </c>
    </row>
    <row r="50" spans="1:2">
      <c r="A50" t="s">
        <v>118</v>
      </c>
      <c r="B50" t="s">
        <v>119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89"/>
  <sheetViews>
    <sheetView zoomScale="85" zoomScaleNormal="85" workbookViewId="0">
      <selection activeCell="D20" sqref="D20"/>
    </sheetView>
  </sheetViews>
  <sheetFormatPr defaultRowHeight="14.25"/>
  <cols>
    <col min="1" max="1" width="48.75" style="17" bestFit="1" customWidth="1"/>
  </cols>
  <sheetData>
    <row r="1" spans="1:4">
      <c r="A1" s="17" t="s">
        <v>120</v>
      </c>
      <c r="D1">
        <v>555</v>
      </c>
    </row>
    <row r="2" spans="1:4">
      <c r="A2" s="17" t="s">
        <v>121</v>
      </c>
    </row>
    <row r="3" spans="1:4">
      <c r="A3" s="17" t="s">
        <v>122</v>
      </c>
    </row>
    <row r="4" spans="1:4">
      <c r="A4" s="17" t="s">
        <v>123</v>
      </c>
    </row>
    <row r="5" spans="1:4">
      <c r="A5" s="17" t="s">
        <v>124</v>
      </c>
    </row>
    <row r="6" spans="1:4">
      <c r="A6" s="17" t="s">
        <v>125</v>
      </c>
    </row>
    <row r="7" spans="1:4">
      <c r="A7" s="17" t="s">
        <v>126</v>
      </c>
    </row>
    <row r="8" spans="1:4">
      <c r="A8" s="17" t="s">
        <v>127</v>
      </c>
    </row>
    <row r="9" spans="1:4">
      <c r="A9" s="17" t="s">
        <v>128</v>
      </c>
    </row>
    <row r="10" spans="1:4">
      <c r="A10" s="17" t="s">
        <v>129</v>
      </c>
    </row>
    <row r="11" spans="1:4">
      <c r="A11" s="17" t="s">
        <v>130</v>
      </c>
    </row>
    <row r="12" spans="1:4">
      <c r="A12" s="17" t="s">
        <v>131</v>
      </c>
    </row>
    <row r="13" spans="1:4">
      <c r="A13" s="17" t="s">
        <v>132</v>
      </c>
    </row>
    <row r="14" spans="1:4">
      <c r="A14" s="17" t="s">
        <v>133</v>
      </c>
    </row>
    <row r="15" spans="1:4">
      <c r="A15" s="17" t="s">
        <v>134</v>
      </c>
    </row>
    <row r="16" spans="1:4">
      <c r="A16" s="17" t="s">
        <v>135</v>
      </c>
    </row>
    <row r="17" spans="1:1">
      <c r="A17" s="17" t="s">
        <v>136</v>
      </c>
    </row>
    <row r="18" spans="1:1">
      <c r="A18" s="17" t="s">
        <v>137</v>
      </c>
    </row>
    <row r="19" spans="1:1">
      <c r="A19" s="17" t="s">
        <v>138</v>
      </c>
    </row>
    <row r="20" spans="1:1">
      <c r="A20" s="17" t="s">
        <v>139</v>
      </c>
    </row>
    <row r="21" spans="1:1">
      <c r="A21" s="17" t="s">
        <v>140</v>
      </c>
    </row>
    <row r="22" spans="1:1">
      <c r="A22" s="17" t="s">
        <v>141</v>
      </c>
    </row>
    <row r="23" spans="1:1">
      <c r="A23" s="17" t="s">
        <v>142</v>
      </c>
    </row>
    <row r="24" spans="1:1">
      <c r="A24" s="17" t="s">
        <v>143</v>
      </c>
    </row>
    <row r="25" spans="1:1">
      <c r="A25" s="17" t="s">
        <v>144</v>
      </c>
    </row>
    <row r="26" spans="1:1">
      <c r="A26" s="17" t="s">
        <v>145</v>
      </c>
    </row>
    <row r="27" spans="1:1">
      <c r="A27" s="17" t="s">
        <v>146</v>
      </c>
    </row>
    <row r="28" spans="1:1">
      <c r="A28" s="17" t="s">
        <v>147</v>
      </c>
    </row>
    <row r="29" spans="1:1">
      <c r="A29" s="17" t="s">
        <v>148</v>
      </c>
    </row>
    <row r="30" spans="1:1">
      <c r="A30" s="17" t="s">
        <v>149</v>
      </c>
    </row>
    <row r="31" spans="1:1">
      <c r="A31" s="17" t="s">
        <v>150</v>
      </c>
    </row>
    <row r="32" spans="1:1">
      <c r="A32" s="17" t="s">
        <v>151</v>
      </c>
    </row>
    <row r="33" spans="1:1">
      <c r="A33" s="17" t="s">
        <v>152</v>
      </c>
    </row>
    <row r="34" spans="1:1">
      <c r="A34" s="17" t="s">
        <v>153</v>
      </c>
    </row>
    <row r="35" spans="1:1">
      <c r="A35" s="17" t="s">
        <v>154</v>
      </c>
    </row>
    <row r="36" spans="1:1">
      <c r="A36" s="17" t="s">
        <v>155</v>
      </c>
    </row>
    <row r="37" spans="1:1">
      <c r="A37" s="17" t="s">
        <v>156</v>
      </c>
    </row>
    <row r="38" spans="1:1">
      <c r="A38" s="17" t="s">
        <v>157</v>
      </c>
    </row>
    <row r="39" spans="1:1">
      <c r="A39" s="17" t="s">
        <v>158</v>
      </c>
    </row>
    <row r="40" spans="1:1">
      <c r="A40" s="17" t="s">
        <v>159</v>
      </c>
    </row>
    <row r="41" spans="1:1">
      <c r="A41" s="17" t="s">
        <v>160</v>
      </c>
    </row>
    <row r="42" spans="1:1">
      <c r="A42" s="17" t="s">
        <v>161</v>
      </c>
    </row>
    <row r="43" spans="1:1">
      <c r="A43" s="17" t="s">
        <v>162</v>
      </c>
    </row>
    <row r="44" spans="1:1">
      <c r="A44" s="17" t="s">
        <v>163</v>
      </c>
    </row>
    <row r="45" spans="1:1">
      <c r="A45" s="17" t="s">
        <v>164</v>
      </c>
    </row>
    <row r="46" spans="1:1">
      <c r="A46" s="17" t="s">
        <v>165</v>
      </c>
    </row>
    <row r="47" spans="1:1">
      <c r="A47" s="17" t="s">
        <v>166</v>
      </c>
    </row>
    <row r="48" spans="1:1">
      <c r="A48" s="17" t="s">
        <v>167</v>
      </c>
    </row>
    <row r="49" spans="1:1">
      <c r="A49" s="17" t="s">
        <v>168</v>
      </c>
    </row>
    <row r="50" spans="1:1">
      <c r="A50" s="17" t="s">
        <v>169</v>
      </c>
    </row>
    <row r="51" spans="1:1">
      <c r="A51" s="17" t="s">
        <v>170</v>
      </c>
    </row>
    <row r="52" spans="1:1">
      <c r="A52" s="17" t="s">
        <v>171</v>
      </c>
    </row>
    <row r="53" spans="1:1">
      <c r="A53" s="17" t="s">
        <v>172</v>
      </c>
    </row>
    <row r="54" spans="1:1">
      <c r="A54" s="17" t="s">
        <v>173</v>
      </c>
    </row>
    <row r="55" spans="1:1">
      <c r="A55" s="17" t="s">
        <v>174</v>
      </c>
    </row>
    <row r="56" spans="1:1">
      <c r="A56" s="17" t="s">
        <v>175</v>
      </c>
    </row>
    <row r="57" spans="1:1">
      <c r="A57" s="17" t="s">
        <v>176</v>
      </c>
    </row>
    <row r="58" spans="1:1">
      <c r="A58" s="17" t="s">
        <v>177</v>
      </c>
    </row>
    <row r="59" spans="1:1">
      <c r="A59" s="17" t="s">
        <v>178</v>
      </c>
    </row>
    <row r="60" spans="1:1">
      <c r="A60" s="17" t="s">
        <v>179</v>
      </c>
    </row>
    <row r="61" spans="1:1">
      <c r="A61" s="17" t="s">
        <v>180</v>
      </c>
    </row>
    <row r="62" spans="1:1">
      <c r="A62" s="17" t="s">
        <v>181</v>
      </c>
    </row>
    <row r="63" spans="1:1">
      <c r="A63" s="17" t="s">
        <v>182</v>
      </c>
    </row>
    <row r="64" spans="1:1">
      <c r="A64" s="17" t="s">
        <v>183</v>
      </c>
    </row>
    <row r="65" spans="1:1">
      <c r="A65" s="17" t="s">
        <v>184</v>
      </c>
    </row>
    <row r="66" spans="1:1">
      <c r="A66" s="17" t="s">
        <v>185</v>
      </c>
    </row>
    <row r="67" spans="1:1">
      <c r="A67" s="17" t="s">
        <v>186</v>
      </c>
    </row>
    <row r="68" spans="1:1">
      <c r="A68" s="17" t="s">
        <v>187</v>
      </c>
    </row>
    <row r="69" spans="1:1">
      <c r="A69" s="17" t="s">
        <v>188</v>
      </c>
    </row>
    <row r="70" spans="1:1">
      <c r="A70" s="17" t="s">
        <v>189</v>
      </c>
    </row>
    <row r="71" spans="1:1">
      <c r="A71" s="17" t="s">
        <v>190</v>
      </c>
    </row>
    <row r="72" spans="1:1">
      <c r="A72" s="17" t="s">
        <v>191</v>
      </c>
    </row>
    <row r="73" spans="1:1">
      <c r="A73" s="17" t="s">
        <v>192</v>
      </c>
    </row>
    <row r="74" spans="1:1">
      <c r="A74" s="17" t="s">
        <v>193</v>
      </c>
    </row>
    <row r="75" spans="1:1">
      <c r="A75" s="17" t="s">
        <v>194</v>
      </c>
    </row>
    <row r="76" spans="1:1">
      <c r="A76" s="17" t="s">
        <v>195</v>
      </c>
    </row>
    <row r="77" spans="1:1">
      <c r="A77" s="17" t="s">
        <v>196</v>
      </c>
    </row>
    <row r="78" spans="1:1">
      <c r="A78" s="17" t="s">
        <v>197</v>
      </c>
    </row>
    <row r="79" spans="1:1">
      <c r="A79" s="17" t="s">
        <v>198</v>
      </c>
    </row>
    <row r="80" spans="1:1">
      <c r="A80" s="17" t="s">
        <v>199</v>
      </c>
    </row>
    <row r="81" spans="1:1">
      <c r="A81" s="17" t="s">
        <v>200</v>
      </c>
    </row>
    <row r="82" spans="1:1">
      <c r="A82" s="17" t="s">
        <v>201</v>
      </c>
    </row>
    <row r="83" spans="1:1">
      <c r="A83" s="17" t="s">
        <v>202</v>
      </c>
    </row>
    <row r="84" spans="1:1">
      <c r="A84" s="17" t="s">
        <v>203</v>
      </c>
    </row>
    <row r="85" spans="1:1">
      <c r="A85" s="17" t="s">
        <v>204</v>
      </c>
    </row>
    <row r="86" spans="1:1">
      <c r="A86" s="17" t="s">
        <v>205</v>
      </c>
    </row>
    <row r="87" spans="1:1">
      <c r="A87" s="17" t="s">
        <v>206</v>
      </c>
    </row>
    <row r="88" spans="1:1">
      <c r="A88" s="17" t="s">
        <v>207</v>
      </c>
    </row>
    <row r="89" spans="1:1">
      <c r="A89" s="17" t="s">
        <v>208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31Days</vt:lpstr>
      <vt:lpstr>Mapping</vt:lpstr>
      <vt:lpstr>Folders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Sachin Krishnamurthy</dc:creator>
  <cp:lastModifiedBy>Sushant</cp:lastModifiedBy>
  <cp:lastPrinted>2017-02-23T20:22:28Z</cp:lastPrinted>
  <dcterms:created xsi:type="dcterms:W3CDTF">2015-10-16T18:31:27Z</dcterms:created>
  <dcterms:modified xsi:type="dcterms:W3CDTF">2017-02-23T20:31:05Z</dcterms:modified>
</cp:coreProperties>
</file>